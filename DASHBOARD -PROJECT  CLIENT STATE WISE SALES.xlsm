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dmin\Desktop\"/>
    </mc:Choice>
  </mc:AlternateContent>
  <xr:revisionPtr revIDLastSave="0" documentId="8_{84E489E2-D60B-4B14-8C79-D011DB906D65}" xr6:coauthVersionLast="47" xr6:coauthVersionMax="47" xr10:uidLastSave="{00000000-0000-0000-0000-000000000000}"/>
  <bookViews>
    <workbookView xWindow="10150" yWindow="370" windowWidth="9320" windowHeight="10110" xr2:uid="{E9E7D130-E078-4725-A2AD-CBE92279FAE3}"/>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I3" i="1"/>
  <c r="I4" i="1"/>
  <c r="I5" i="1"/>
  <c r="I6" i="1"/>
  <c r="I7" i="1"/>
  <c r="I8" i="1"/>
  <c r="I9" i="1"/>
  <c r="I10" i="1"/>
  <c r="I11" i="1"/>
  <c r="I12" i="1"/>
  <c r="I13" i="1"/>
  <c r="I14" i="1"/>
  <c r="I15" i="1"/>
  <c r="I16" i="1"/>
  <c r="I17" i="1"/>
  <c r="I18" i="1"/>
  <c r="I19" i="1"/>
  <c r="I20" i="1"/>
  <c r="I21" i="1"/>
  <c r="I2" i="1"/>
</calcChain>
</file>

<file path=xl/sharedStrings.xml><?xml version="1.0" encoding="utf-8"?>
<sst xmlns="http://schemas.openxmlformats.org/spreadsheetml/2006/main" count="94" uniqueCount="64">
  <si>
    <t>Region</t>
  </si>
  <si>
    <t>Day1</t>
  </si>
  <si>
    <t>Day2</t>
  </si>
  <si>
    <t>Day3</t>
  </si>
  <si>
    <t>Day4</t>
  </si>
  <si>
    <t>Day5</t>
  </si>
  <si>
    <t>Total sales</t>
  </si>
  <si>
    <t>Target</t>
  </si>
  <si>
    <t>Target hit %</t>
  </si>
  <si>
    <t>Away from target%</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</si>
  <si>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</si>
  <si>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</si>
  <si>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</si>
  <si>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</si>
  <si>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</si>
  <si>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</si>
  <si>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</si>
  <si>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</si>
  <si>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</si>
  <si>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</si>
  <si>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</si>
  <si>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</si>
  <si>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</si>
  <si>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</si>
  <si>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</si>
  <si>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</si>
  <si>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</si>
  <si>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</si>
  <si>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</si>
  <si>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</si>
  <si>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 xml:space="preserve">Raj Verma </t>
  </si>
  <si>
    <t>Tanuja Kale</t>
  </si>
  <si>
    <t>Arvind  Sharma</t>
  </si>
  <si>
    <t>Tahina Singh</t>
  </si>
  <si>
    <t>Ajay Verma</t>
  </si>
  <si>
    <t>Ayed Singh</t>
  </si>
  <si>
    <t xml:space="preserve">Surendra </t>
  </si>
  <si>
    <t xml:space="preserve">Nishant </t>
  </si>
  <si>
    <t>Vipin</t>
  </si>
  <si>
    <t>Ayush</t>
  </si>
  <si>
    <t>Vijay</t>
  </si>
  <si>
    <t>Anuj</t>
  </si>
  <si>
    <t>Dushyant</t>
  </si>
  <si>
    <t>Harshit</t>
  </si>
  <si>
    <t>Priyanshu</t>
  </si>
  <si>
    <t>Bhanu</t>
  </si>
  <si>
    <t>Pranav</t>
  </si>
  <si>
    <t>Anurag</t>
  </si>
  <si>
    <t>Anil</t>
  </si>
  <si>
    <t>Lavkush</t>
  </si>
  <si>
    <t>mumbai</t>
  </si>
  <si>
    <t>delhi</t>
  </si>
  <si>
    <t>nagpur</t>
  </si>
  <si>
    <t>chennai</t>
  </si>
  <si>
    <t>pune</t>
  </si>
  <si>
    <t>patna</t>
  </si>
  <si>
    <t>ranchi</t>
  </si>
  <si>
    <t>surat</t>
  </si>
  <si>
    <t>Emp Code</t>
  </si>
  <si>
    <t>Sales Executivec</t>
  </si>
  <si>
    <t>Total sales.</t>
  </si>
  <si>
    <t>Sales Executive</t>
  </si>
  <si>
    <t xml:space="preserve"> Away from target% wise</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</si>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</sst>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 x14ac:knownFonts="1">
    <font>
      <sz val="11"/>
      <color theme="1"/>
      <name val="Calibri"/>
      <family val="2"/>
      <scheme val="minor"/>
    </font>
    <font>
      <sz val="11"/>
      <color theme="1"/>
      <name val="Calibri"/>
      <family val="2"/>
      <scheme val="minor"/>
    </font>
    <font>
      <sz val="8"/>
      <name val="Calibri"/>
      <family val="2"/>
      <scheme val="minor"/>
    </font>
    <font>
      <sz val="11"/>
      <color theme="1" tint="0.499984740745262"/>
      <name val="Calibri"/>
      <family val="2"/>
      <scheme val="minor"/>
    </font>
    <font>
      <sz val="11"/>
      <color rgb="FF501000"/>
      <name val="Calibri"/>
      <family val="2"/>
      <scheme val="minor"/>
    </font>
    <font>
      <sz val="8"/>
      <color rgb="FF000000"/>
      <name val="Segoe UI"/>
      <family val="2"/>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0">
    <xf numFmtId="0" fontId="0" fillId="0" borderId="0" xfId="0"/>
    <xf numFmtId="9" fontId="0" fillId="0" borderId="0" xfId="1" applyFont="1"/>
    <xf numFmtId="164" fontId="0" fillId="0" borderId="0" xfId="0" applyNumberFormat="1"/>
    <xf numFmtId="0" fontId="0" fillId="0" borderId="0" xfId="0" pivotButton="1"/>
    <xf numFmtId="0" fontId="0" fillId="0" borderId="0" xfId="0" applyAlignment="1">
      <alignment horizontal="left"/>
    </xf>
    <xf numFmtId="9" fontId="0" fillId="0" borderId="0" xfId="0" applyNumberFormat="1"/>
    <xf numFmtId="0" fontId="3" fillId="0" borderId="0" xfId="0" applyFont="1"/>
    <xf numFmtId="0" fontId="4" fillId="2" borderId="0" xfId="0" applyFont="1" applyFill="1"/>
    <xf numFmtId="0" fontId="3" fillId="2" borderId="0" xfId="0" applyFont="1" applyFill="1"/>
    <xf numFmtId="0" fontId="0" fillId="0" borderId="0" xfId="0" applyNumberFormat="1"/>
  </cellXfs>
  <cellStyles count="2">
    <cellStyle name="Normal" xfId="0" builtinId="0"/>
    <cellStyle name="Percent" xfId="1" builtinId="5"/>
  </cellStyles>
  <dxfs count="1">
    <dxf>
      <fill>
        <patternFill>
          <bgColor theme="1" tint="0.14996795556505021"/>
        </patternFill>
      </fill>
    </dxf>
  </dxfs>
  <tableStyles count="2" defaultTableStyle="TableStyleMedium2" defaultPivotStyle="PivotStyleLight16">
    <tableStyle name="Slicer Style 1" pivot="0" table="0" count="0" xr9:uid="{9F92D537-CA26-4724-BA05-14913AC00B27}"/>
    <tableStyle name="Slicer Style 2" pivot="0" table="0" count="7" xr9:uid="{047C1B89-4AB1-4CAD-B79B-0405CDD45160}">
      <tableStyleElement type="wholeTable" dxfId="0"/>
    </tableStyle>
  </tableStyles>
  <extLst>
    <ext xmlns:x14="http://schemas.microsoft.com/office/spreadsheetml/2009/9/main" uri="{46F421CA-312F-682f-3DD2-61675219B42D}">
      <x14:dxfs count="6">
        <dxf>
          <fill>
            <patternFill>
              <bgColor theme="7" tint="0.39994506668294322"/>
            </patternFill>
          </fill>
        </dxf>
        <dxf>
          <fill>
            <patternFill>
              <bgColor theme="9" tint="0.39994506668294322"/>
            </patternFill>
          </fill>
        </dxf>
        <dxf>
          <fill>
            <patternFill>
              <bgColor theme="8" tint="-0.24994659260841701"/>
            </patternFill>
          </fill>
        </dxf>
        <dxf>
          <fill>
            <patternFill>
              <bgColor theme="5" tint="0.39994506668294322"/>
            </patternFill>
          </fill>
        </dxf>
        <dxf>
          <fill>
            <patternFill>
              <bgColor rgb="FF00B050"/>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CLIENT STATE WISE SALES.xlsm]DASHBOARD!PivotTable2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DASHBOARD!$A$8:$A$10</c:f>
              <c:strCache>
                <c:ptCount val="3"/>
                <c:pt idx="0">
                  <c:v>Anil</c:v>
                </c:pt>
                <c:pt idx="1">
                  <c:v>Arvind  Sharma</c:v>
                </c:pt>
                <c:pt idx="2">
                  <c:v>Vijay</c:v>
                </c:pt>
              </c:strCache>
            </c:strRef>
          </c:cat>
          <c:val>
            <c:numRef>
              <c:f>DASHBOARD!$B$8:$B$10</c:f>
              <c:numCache>
                <c:formatCode>General</c:formatCode>
                <c:ptCount val="3"/>
                <c:pt idx="0">
                  <c:v>252</c:v>
                </c:pt>
                <c:pt idx="1">
                  <c:v>379</c:v>
                </c:pt>
                <c:pt idx="2">
                  <c:v>219</c:v>
                </c:pt>
              </c:numCache>
            </c:numRef>
          </c:val>
          <c:extLst>
            <c:ext xmlns:c16="http://schemas.microsoft.com/office/drawing/2014/chart" uri="{C3380CC4-5D6E-409C-BE32-E72D297353CC}">
              <c16:uniqueId val="{00000000-6450-4C72-8B8C-0E48AFDA7DE3}"/>
            </c:ext>
          </c:extLst>
        </c:ser>
        <c:dLbls>
          <c:showLegendKey val="0"/>
          <c:showVal val="0"/>
          <c:showCatName val="0"/>
          <c:showSerName val="0"/>
          <c:showPercent val="0"/>
          <c:showBubbleSize val="0"/>
        </c:dLbls>
        <c:gapWidth val="182"/>
        <c:axId val="402742432"/>
        <c:axId val="393516248"/>
      </c:barChart>
      <c:catAx>
        <c:axId val="402742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516248"/>
        <c:crosses val="autoZero"/>
        <c:auto val="1"/>
        <c:lblAlgn val="ctr"/>
        <c:lblOffset val="100"/>
        <c:noMultiLvlLbl val="0"/>
      </c:catAx>
      <c:valAx>
        <c:axId val="3935162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42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CLIENT STATE WISE SALES.xlsm]DASHBOARD!PivotTable6</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25501355898977357"/>
              <c:y val="-0.1336906693147624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7.9344812188932815E-2"/>
              <c:y val="-0.2050950874684860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0.228472310074814"/>
              <c:y val="-0.1015149966941155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6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926315789473684"/>
                  <c:h val="0.14236641221374044"/>
                </c:manualLayout>
              </c15:layout>
            </c:ext>
          </c:extLst>
        </c:dLbl>
      </c:pivotFmt>
      <c:pivotFmt>
        <c:idx val="4"/>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DASHBOARD!$H$7</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053-4192-B948-1217EFFE259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ADD-4783-A582-14145221E9A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7ADD-4783-A582-14145221E9A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7ADD-4783-A582-14145221E9A3}"/>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053-4192-B948-1217EFFE2595}"/>
              </c:ext>
            </c:extLst>
          </c:dPt>
          <c:dLbls>
            <c:dLbl>
              <c:idx val="1"/>
              <c:layout>
                <c:manualLayout>
                  <c:x val="-7.9344812188932815E-2"/>
                  <c:y val="-0.2050950874684860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ADD-4783-A582-14145221E9A3}"/>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DASHBOARD!$G$8:$G$10</c:f>
              <c:strCache>
                <c:ptCount val="3"/>
                <c:pt idx="0">
                  <c:v>Anil</c:v>
                </c:pt>
                <c:pt idx="1">
                  <c:v>Arvind  Sharma</c:v>
                </c:pt>
                <c:pt idx="2">
                  <c:v>Vijay</c:v>
                </c:pt>
              </c:strCache>
            </c:strRef>
          </c:cat>
          <c:val>
            <c:numRef>
              <c:f>DASHBOARD!$H$8:$H$10</c:f>
              <c:numCache>
                <c:formatCode>0%</c:formatCode>
                <c:ptCount val="3"/>
                <c:pt idx="0">
                  <c:v>0.5</c:v>
                </c:pt>
                <c:pt idx="1">
                  <c:v>0.76</c:v>
                </c:pt>
                <c:pt idx="2">
                  <c:v>0.44</c:v>
                </c:pt>
              </c:numCache>
            </c:numRef>
          </c:val>
          <c:extLst>
            <c:ext xmlns:c16="http://schemas.microsoft.com/office/drawing/2014/chart" uri="{C3380CC4-5D6E-409C-BE32-E72D297353CC}">
              <c16:uniqueId val="{00000000-7ADD-4783-A582-14145221E9A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CLIENT STATE WISE SALES.xlsm]DASHBOARD!PivotTable7</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1.7383678350690032E-2"/>
              <c:y val="7.407430296988064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6869665989331978"/>
                  <c:h val="0.10641213452969542"/>
                </c:manualLayout>
              </c15:layout>
            </c:ext>
          </c:extLst>
        </c:dLbl>
      </c:pivotFmt>
      <c:pivotFmt>
        <c:idx val="2"/>
        <c:spPr>
          <a:solidFill>
            <a:schemeClr val="accent1"/>
          </a:solidFill>
          <a:ln w="28575" cap="rnd">
            <a:solidFill>
              <a:schemeClr val="accent1"/>
            </a:solidFill>
            <a:round/>
          </a:ln>
          <a:effectLst/>
        </c:spPr>
        <c:marker>
          <c:symbol val="none"/>
        </c:marker>
        <c:dLbl>
          <c:idx val="0"/>
          <c:layout>
            <c:manualLayout>
              <c:x val="-2.777777777777788E-2"/>
              <c:y val="-3.24074074074074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pivotFmt>
      <c:pivotFmt>
        <c:idx val="4"/>
        <c:marker>
          <c:symbol val="none"/>
        </c:marker>
      </c:pivotFmt>
      <c:pivotFmt>
        <c:idx val="5"/>
        <c:marker>
          <c:symbol val="none"/>
        </c:marker>
      </c:pivotFmt>
    </c:pivotFmts>
    <c:plotArea>
      <c:layout/>
      <c:lineChart>
        <c:grouping val="standard"/>
        <c:varyColors val="0"/>
        <c:ser>
          <c:idx val="0"/>
          <c:order val="0"/>
          <c:tx>
            <c:strRef>
              <c:f>DASHBOARD!$K$7</c:f>
              <c:strCache>
                <c:ptCount val="1"/>
                <c:pt idx="0">
                  <c:v>Total</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1-857E-44EF-95A5-8FFD8DE5A37D}"/>
              </c:ext>
            </c:extLst>
          </c:dPt>
          <c:dPt>
            <c:idx val="2"/>
            <c:marker>
              <c:symbol val="none"/>
            </c:marker>
            <c:bubble3D val="0"/>
            <c:extLst>
              <c:ext xmlns:c16="http://schemas.microsoft.com/office/drawing/2014/chart" uri="{C3380CC4-5D6E-409C-BE32-E72D297353CC}">
                <c16:uniqueId val="{00000000-8952-452F-BFD1-570B9E622D49}"/>
              </c:ext>
            </c:extLst>
          </c:dPt>
          <c:dPt>
            <c:idx val="4"/>
            <c:marker>
              <c:symbol val="none"/>
            </c:marker>
            <c:bubble3D val="0"/>
            <c:extLst>
              <c:ext xmlns:c16="http://schemas.microsoft.com/office/drawing/2014/chart" uri="{C3380CC4-5D6E-409C-BE32-E72D297353CC}">
                <c16:uniqueId val="{00000004-857E-44EF-95A5-8FFD8DE5A37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DASHBOARD!$J$8:$J$10</c:f>
              <c:strCache>
                <c:ptCount val="3"/>
                <c:pt idx="0">
                  <c:v>Anil</c:v>
                </c:pt>
                <c:pt idx="1">
                  <c:v>Arvind  Sharma</c:v>
                </c:pt>
                <c:pt idx="2">
                  <c:v>Vijay</c:v>
                </c:pt>
              </c:strCache>
            </c:strRef>
          </c:cat>
          <c:val>
            <c:numRef>
              <c:f>DASHBOARD!$K$8:$K$10</c:f>
              <c:numCache>
                <c:formatCode>0.000%</c:formatCode>
                <c:ptCount val="3"/>
                <c:pt idx="0">
                  <c:v>0.5</c:v>
                </c:pt>
                <c:pt idx="1">
                  <c:v>0.24</c:v>
                </c:pt>
                <c:pt idx="2">
                  <c:v>0.56000000000000005</c:v>
                </c:pt>
              </c:numCache>
            </c:numRef>
          </c:val>
          <c:smooth val="0"/>
          <c:extLst>
            <c:ext xmlns:c16="http://schemas.microsoft.com/office/drawing/2014/chart" uri="{C3380CC4-5D6E-409C-BE32-E72D297353CC}">
              <c16:uniqueId val="{00000000-93E5-4570-8AF2-C4B9A2083582}"/>
            </c:ext>
          </c:extLst>
        </c:ser>
        <c:dLbls>
          <c:showLegendKey val="0"/>
          <c:showVal val="0"/>
          <c:showCatName val="0"/>
          <c:showSerName val="0"/>
          <c:showPercent val="0"/>
          <c:showBubbleSize val="0"/>
        </c:dLbls>
        <c:smooth val="0"/>
        <c:axId val="396557400"/>
        <c:axId val="394380384"/>
      </c:lineChart>
      <c:catAx>
        <c:axId val="396557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380384"/>
        <c:crosses val="autoZero"/>
        <c:auto val="1"/>
        <c:lblAlgn val="ctr"/>
        <c:lblOffset val="100"/>
        <c:noMultiLvlLbl val="0"/>
      </c:catAx>
      <c:valAx>
        <c:axId val="394380384"/>
        <c:scaling>
          <c:orientation val="minMax"/>
        </c:scaling>
        <c:delete val="1"/>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crossAx val="396557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A" lockText="1" noThreeD="1"/>
</file>

<file path=xl/ctrlProps/ctrlProp2.xml><?xml version="1.0" encoding="utf-8"?>
<formControlPr xmlns="http://schemas.microsoft.com/office/spreadsheetml/2009/9/main" objectType="CheckBox" fmlaLink="$D:$D" lockText="1" noThreeD="1"/>
</file>

<file path=xl/ctrlProps/ctrlProp3.xml><?xml version="1.0" encoding="utf-8"?>
<formControlPr xmlns="http://schemas.microsoft.com/office/spreadsheetml/2009/9/main" objectType="CheckBox" checked="Checked" fmlaLink="$G:$G" lockText="1" noThreeD="1"/>
</file>

<file path=xl/ctrlProps/ctrlProp4.xml><?xml version="1.0" encoding="utf-8"?>
<formControlPr xmlns="http://schemas.microsoft.com/office/spreadsheetml/2009/9/main" objectType="CheckBox" checked="Checked"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57150</xdr:colOff>
      <xdr:row>12</xdr:row>
      <xdr:rowOff>114300</xdr:rowOff>
    </xdr:from>
    <xdr:to>
      <xdr:col>4</xdr:col>
      <xdr:colOff>590550</xdr:colOff>
      <xdr:row>20</xdr:row>
      <xdr:rowOff>127000</xdr:rowOff>
    </xdr:to>
    <xdr:graphicFrame macro="">
      <xdr:nvGraphicFramePr>
        <xdr:cNvPr id="2" name="Chart 1">
          <a:extLst>
            <a:ext uri="{FF2B5EF4-FFF2-40B4-BE49-F238E27FC236}">
              <a16:creationId xmlns:a16="http://schemas.microsoft.com/office/drawing/2014/main" id="{4ED71EB2-38BF-861E-CC17-057A20EF60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xdr:colOff>
      <xdr:row>12</xdr:row>
      <xdr:rowOff>88900</xdr:rowOff>
    </xdr:from>
    <xdr:to>
      <xdr:col>8</xdr:col>
      <xdr:colOff>6350</xdr:colOff>
      <xdr:row>22</xdr:row>
      <xdr:rowOff>105833</xdr:rowOff>
    </xdr:to>
    <xdr:graphicFrame macro="">
      <xdr:nvGraphicFramePr>
        <xdr:cNvPr id="3" name="Chart 2">
          <a:extLst>
            <a:ext uri="{FF2B5EF4-FFF2-40B4-BE49-F238E27FC236}">
              <a16:creationId xmlns:a16="http://schemas.microsoft.com/office/drawing/2014/main" id="{1EE878E6-DE7F-1971-D5A1-487EF171F9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121356</xdr:colOff>
      <xdr:row>12</xdr:row>
      <xdr:rowOff>143228</xdr:rowOff>
    </xdr:from>
    <xdr:to>
      <xdr:col>10</xdr:col>
      <xdr:colOff>1878542</xdr:colOff>
      <xdr:row>21</xdr:row>
      <xdr:rowOff>124178</xdr:rowOff>
    </xdr:to>
    <xdr:graphicFrame macro="">
      <xdr:nvGraphicFramePr>
        <xdr:cNvPr id="5" name="Chart 4">
          <a:extLst>
            <a:ext uri="{FF2B5EF4-FFF2-40B4-BE49-F238E27FC236}">
              <a16:creationId xmlns:a16="http://schemas.microsoft.com/office/drawing/2014/main" id="{966EC3BD-27D5-B00B-DE33-6E60921B66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44450</xdr:colOff>
      <xdr:row>0</xdr:row>
      <xdr:rowOff>31750</xdr:rowOff>
    </xdr:from>
    <xdr:to>
      <xdr:col>10</xdr:col>
      <xdr:colOff>1475238</xdr:colOff>
      <xdr:row>2</xdr:row>
      <xdr:rowOff>116089</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446DC520-B54C-B046-D8B6-B3D03E5F42A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4450" y="31750"/>
              <a:ext cx="8949188" cy="4526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xdr:colOff>
      <xdr:row>3</xdr:row>
      <xdr:rowOff>85969</xdr:rowOff>
    </xdr:from>
    <xdr:to>
      <xdr:col>1</xdr:col>
      <xdr:colOff>663819</xdr:colOff>
      <xdr:row>5</xdr:row>
      <xdr:rowOff>98180</xdr:rowOff>
    </xdr:to>
    <xdr:sp macro="" textlink="">
      <xdr:nvSpPr>
        <xdr:cNvPr id="8" name="Flowchart: Terminator 7">
          <a:extLst>
            <a:ext uri="{FF2B5EF4-FFF2-40B4-BE49-F238E27FC236}">
              <a16:creationId xmlns:a16="http://schemas.microsoft.com/office/drawing/2014/main" id="{2DDE77A3-0ED7-0651-75DF-7017140DBDDE}"/>
            </a:ext>
          </a:extLst>
        </xdr:cNvPr>
        <xdr:cNvSpPr/>
      </xdr:nvSpPr>
      <xdr:spPr>
        <a:xfrm>
          <a:off x="38100" y="638419"/>
          <a:ext cx="1768719" cy="507511"/>
        </a:xfrm>
        <a:prstGeom prst="flowChartTerminator">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273050</xdr:colOff>
          <xdr:row>3</xdr:row>
          <xdr:rowOff>209550</xdr:rowOff>
        </xdr:from>
        <xdr:to>
          <xdr:col>1</xdr:col>
          <xdr:colOff>628650</xdr:colOff>
          <xdr:row>5</xdr:row>
          <xdr:rowOff>12700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0</xdr:colOff>
      <xdr:row>3</xdr:row>
      <xdr:rowOff>88900</xdr:rowOff>
    </xdr:from>
    <xdr:to>
      <xdr:col>5</xdr:col>
      <xdr:colOff>3419</xdr:colOff>
      <xdr:row>5</xdr:row>
      <xdr:rowOff>101111</xdr:rowOff>
    </xdr:to>
    <xdr:sp macro="[0]!SlicerConnection" textlink="">
      <xdr:nvSpPr>
        <xdr:cNvPr id="9" name="Flowchart: Terminator 8">
          <a:extLst>
            <a:ext uri="{FF2B5EF4-FFF2-40B4-BE49-F238E27FC236}">
              <a16:creationId xmlns:a16="http://schemas.microsoft.com/office/drawing/2014/main" id="{D9F1CA36-F404-47BD-888C-1F30FBEDC24C}"/>
            </a:ext>
          </a:extLst>
        </xdr:cNvPr>
        <xdr:cNvSpPr/>
      </xdr:nvSpPr>
      <xdr:spPr>
        <a:xfrm>
          <a:off x="2025650" y="273050"/>
          <a:ext cx="1768719" cy="507511"/>
        </a:xfrm>
        <a:prstGeom prst="flowChartTerminator">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3</xdr:col>
          <xdr:colOff>177800</xdr:colOff>
          <xdr:row>3</xdr:row>
          <xdr:rowOff>222250</xdr:rowOff>
        </xdr:from>
        <xdr:to>
          <xdr:col>4</xdr:col>
          <xdr:colOff>476250</xdr:colOff>
          <xdr:row>5</xdr:row>
          <xdr:rowOff>19050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209550</xdr:colOff>
      <xdr:row>3</xdr:row>
      <xdr:rowOff>95250</xdr:rowOff>
    </xdr:from>
    <xdr:to>
      <xdr:col>7</xdr:col>
      <xdr:colOff>886069</xdr:colOff>
      <xdr:row>5</xdr:row>
      <xdr:rowOff>107461</xdr:rowOff>
    </xdr:to>
    <xdr:sp macro="[0]!SlicerConnection" textlink="">
      <xdr:nvSpPr>
        <xdr:cNvPr id="10" name="Flowchart: Terminator 9">
          <a:extLst>
            <a:ext uri="{FF2B5EF4-FFF2-40B4-BE49-F238E27FC236}">
              <a16:creationId xmlns:a16="http://schemas.microsoft.com/office/drawing/2014/main" id="{9B354086-3ACF-4BC8-9BFC-96669E7FDDD9}"/>
            </a:ext>
          </a:extLst>
        </xdr:cNvPr>
        <xdr:cNvSpPr/>
      </xdr:nvSpPr>
      <xdr:spPr>
        <a:xfrm>
          <a:off x="4171950" y="279400"/>
          <a:ext cx="1768719" cy="507511"/>
        </a:xfrm>
        <a:prstGeom prst="flowChartTerminator">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9</xdr:col>
      <xdr:colOff>146050</xdr:colOff>
      <xdr:row>3</xdr:row>
      <xdr:rowOff>95250</xdr:rowOff>
    </xdr:from>
    <xdr:to>
      <xdr:col>10</xdr:col>
      <xdr:colOff>822569</xdr:colOff>
      <xdr:row>5</xdr:row>
      <xdr:rowOff>107461</xdr:rowOff>
    </xdr:to>
    <xdr:sp macro="[0]!SlicerConnection" textlink="">
      <xdr:nvSpPr>
        <xdr:cNvPr id="11" name="Flowchart: Terminator 10">
          <a:extLst>
            <a:ext uri="{FF2B5EF4-FFF2-40B4-BE49-F238E27FC236}">
              <a16:creationId xmlns:a16="http://schemas.microsoft.com/office/drawing/2014/main" id="{96DD7B8F-5291-4CF7-BEC4-08CDBA3D5B85}"/>
            </a:ext>
          </a:extLst>
        </xdr:cNvPr>
        <xdr:cNvSpPr/>
      </xdr:nvSpPr>
      <xdr:spPr>
        <a:xfrm>
          <a:off x="6572250" y="647700"/>
          <a:ext cx="1768719" cy="507511"/>
        </a:xfrm>
        <a:prstGeom prst="flowChartTerminator">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6</xdr:col>
          <xdr:colOff>393700</xdr:colOff>
          <xdr:row>3</xdr:row>
          <xdr:rowOff>190500</xdr:rowOff>
        </xdr:from>
        <xdr:to>
          <xdr:col>7</xdr:col>
          <xdr:colOff>698500</xdr:colOff>
          <xdr:row>4</xdr:row>
          <xdr:rowOff>184150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628650</xdr:colOff>
          <xdr:row>3</xdr:row>
          <xdr:rowOff>165100</xdr:rowOff>
        </xdr:from>
        <xdr:to>
          <xdr:col>10</xdr:col>
          <xdr:colOff>971550</xdr:colOff>
          <xdr:row>5</xdr:row>
          <xdr:rowOff>25400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921.689407291669" createdVersion="8" refreshedVersion="8" minRefreshableVersion="3" recordCount="20" xr:uid="{1E70CADB-29F4-4EE5-80E8-1D03D3C1B3DF}">
  <cacheSource type="worksheet">
    <worksheetSource ref="A1:L21" sheet="raw data"/>
  </cacheSource>
  <cacheFields count="12">
    <cacheField name="Emp Code" numFmtId="0">
      <sharedItems/>
    </cacheField>
    <cacheField name="Sakes Executive" numFmtId="0">
      <sharedItems count="20">
        <s v="Raj Verma "/>
        <s v="Tanuja Kale"/>
        <s v="Arvind  Sharma"/>
        <s v="Tahina Singh"/>
        <s v="Ajay Verma"/>
        <s v="Ayed Singh"/>
        <s v="Surendra "/>
        <s v="Nishant "/>
        <s v="Vipin"/>
        <s v="Ayush"/>
        <s v="Vijay"/>
        <s v="Anuj"/>
        <s v="Dushyant"/>
        <s v="Harshit"/>
        <s v="Priyanshu"/>
        <s v="Bhanu"/>
        <s v="Pranav"/>
        <s v="Anurag"/>
        <s v="Anil"/>
        <s v="Lavkush"/>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1" maxValue="95"/>
    </cacheField>
    <cacheField name="Day2" numFmtId="0">
      <sharedItems containsSemiMixedTypes="0" containsString="0" containsNumber="1" containsInteger="1" minValue="17" maxValue="99"/>
    </cacheField>
    <cacheField name="Day3" numFmtId="0">
      <sharedItems containsSemiMixedTypes="0" containsString="0" containsNumber="1" containsInteger="1" minValue="11" maxValue="98"/>
    </cacheField>
    <cacheField name="Day4" numFmtId="0">
      <sharedItems containsSemiMixedTypes="0" containsString="0" containsNumber="1" containsInteger="1" minValue="12" maxValue="98"/>
    </cacheField>
    <cacheField name="Day5" numFmtId="0">
      <sharedItems containsSemiMixedTypes="0" containsString="0" containsNumber="1" containsInteger="1" minValue="18" maxValue="94"/>
    </cacheField>
    <cacheField name="Total sales" numFmtId="0">
      <sharedItems containsSemiMixedTypes="0" containsString="0" containsNumber="1" containsInteger="1" minValue="189" maxValue="379"/>
    </cacheField>
    <cacheField name="Target" numFmtId="0">
      <sharedItems containsSemiMixedTypes="0" containsString="0" containsNumber="1" containsInteger="1" minValue="500" maxValue="500"/>
    </cacheField>
    <cacheField name="Target hit %" numFmtId="9">
      <sharedItems containsSemiMixedTypes="0" containsString="0" containsNumber="1" minValue="0.38" maxValue="0.76"/>
    </cacheField>
    <cacheField name="Away from target%" numFmtId="164">
      <sharedItems containsSemiMixedTypes="0" containsString="0" containsNumber="1" minValue="0.24" maxValue="0.62"/>
    </cacheField>
  </cacheFields>
  <extLst>
    <ext xmlns:x14="http://schemas.microsoft.com/office/spreadsheetml/2009/9/main" uri="{725AE2AE-9491-48be-B2B4-4EB974FC3084}">
      <x14:pivotCacheDefinition pivotCacheId="2726588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Mum-TCL001"/>
    <x v="0"/>
    <x v="0"/>
    <n v="49"/>
    <n v="84"/>
    <n v="98"/>
    <n v="67"/>
    <n v="41"/>
    <n v="339"/>
    <n v="500"/>
    <n v="0.67800000000000005"/>
    <n v="0.32"/>
  </r>
  <r>
    <s v="Mum-TCL002"/>
    <x v="1"/>
    <x v="1"/>
    <n v="44"/>
    <n v="85"/>
    <n v="47"/>
    <n v="15"/>
    <n v="48"/>
    <n v="239"/>
    <n v="500"/>
    <n v="0.48"/>
    <n v="0.52"/>
  </r>
  <r>
    <s v="Mum-TCL003"/>
    <x v="2"/>
    <x v="2"/>
    <n v="45"/>
    <n v="79"/>
    <n v="88"/>
    <n v="73"/>
    <n v="94"/>
    <n v="379"/>
    <n v="500"/>
    <n v="0.76"/>
    <n v="0.24"/>
  </r>
  <r>
    <s v="Mum-TCL004"/>
    <x v="3"/>
    <x v="3"/>
    <n v="52"/>
    <n v="99"/>
    <n v="13"/>
    <n v="95"/>
    <n v="29"/>
    <n v="288"/>
    <n v="500"/>
    <n v="0.57599999999999996"/>
    <n v="0.42400000000000004"/>
  </r>
  <r>
    <s v="Mum-TCL005"/>
    <x v="4"/>
    <x v="4"/>
    <n v="35"/>
    <n v="54"/>
    <n v="49"/>
    <n v="26"/>
    <n v="49"/>
    <n v="213"/>
    <n v="500"/>
    <n v="0.43"/>
    <n v="0.57000000000000006"/>
  </r>
  <r>
    <s v="Mum-TCL006"/>
    <x v="5"/>
    <x v="5"/>
    <n v="86"/>
    <n v="31"/>
    <n v="23"/>
    <n v="48"/>
    <n v="77"/>
    <n v="265"/>
    <n v="500"/>
    <n v="0.53"/>
    <n v="0.47"/>
  </r>
  <r>
    <s v="Mum-TCL007"/>
    <x v="6"/>
    <x v="6"/>
    <n v="84"/>
    <n v="28"/>
    <n v="98"/>
    <n v="80"/>
    <n v="79"/>
    <n v="369"/>
    <n v="500"/>
    <n v="0.74"/>
    <n v="0.26"/>
  </r>
  <r>
    <s v="Mum-TCL008"/>
    <x v="7"/>
    <x v="7"/>
    <n v="73"/>
    <n v="97"/>
    <n v="38"/>
    <n v="24"/>
    <n v="53"/>
    <n v="285"/>
    <n v="500"/>
    <n v="0.56999999999999995"/>
    <n v="0.43000000000000005"/>
  </r>
  <r>
    <s v="Mum-TCL009"/>
    <x v="8"/>
    <x v="0"/>
    <n v="54"/>
    <n v="26"/>
    <n v="53"/>
    <n v="36"/>
    <n v="20"/>
    <n v="189"/>
    <n v="500"/>
    <n v="0.38"/>
    <n v="0.62"/>
  </r>
  <r>
    <s v="Mum-TCL010"/>
    <x v="9"/>
    <x v="1"/>
    <n v="52"/>
    <n v="52"/>
    <n v="19"/>
    <n v="53"/>
    <n v="37"/>
    <n v="213"/>
    <n v="500"/>
    <n v="0.43"/>
    <n v="0.57000000000000006"/>
  </r>
  <r>
    <s v="Mum-TCL011"/>
    <x v="10"/>
    <x v="2"/>
    <n v="63"/>
    <n v="17"/>
    <n v="40"/>
    <n v="48"/>
    <n v="51"/>
    <n v="219"/>
    <n v="500"/>
    <n v="0.44"/>
    <n v="0.56000000000000005"/>
  </r>
  <r>
    <s v="Mum-TCL012"/>
    <x v="11"/>
    <x v="3"/>
    <n v="79"/>
    <n v="99"/>
    <n v="95"/>
    <n v="12"/>
    <n v="91"/>
    <n v="376"/>
    <n v="500"/>
    <n v="0.75"/>
    <n v="0.25"/>
  </r>
  <r>
    <s v="Mum-TCL013"/>
    <x v="12"/>
    <x v="4"/>
    <n v="95"/>
    <n v="88"/>
    <n v="11"/>
    <n v="78"/>
    <n v="60"/>
    <n v="332"/>
    <n v="500"/>
    <n v="0.66"/>
    <n v="0.33999999999999997"/>
  </r>
  <r>
    <s v="Mum-TCL014"/>
    <x v="13"/>
    <x v="5"/>
    <n v="83"/>
    <n v="77"/>
    <n v="66"/>
    <n v="22"/>
    <n v="40"/>
    <n v="288"/>
    <n v="500"/>
    <n v="0.57999999999999996"/>
    <n v="0.42000000000000004"/>
  </r>
  <r>
    <s v="Mum-TCL015"/>
    <x v="14"/>
    <x v="6"/>
    <n v="78"/>
    <n v="58"/>
    <n v="34"/>
    <n v="84"/>
    <n v="31"/>
    <n v="285"/>
    <n v="500"/>
    <n v="0.56999999999999995"/>
    <n v="0.43000000000000005"/>
  </r>
  <r>
    <s v="Mum-TCL016"/>
    <x v="15"/>
    <x v="7"/>
    <n v="14"/>
    <n v="25"/>
    <n v="45"/>
    <n v="70"/>
    <n v="45"/>
    <n v="199"/>
    <n v="500"/>
    <n v="0.4"/>
    <n v="0.6"/>
  </r>
  <r>
    <s v="Mum-TCL017"/>
    <x v="16"/>
    <x v="0"/>
    <n v="37"/>
    <n v="69"/>
    <n v="96"/>
    <n v="66"/>
    <n v="38"/>
    <n v="306"/>
    <n v="500"/>
    <n v="0.61"/>
    <n v="0.39"/>
  </r>
  <r>
    <s v="Mum-TCL018"/>
    <x v="17"/>
    <x v="1"/>
    <n v="11"/>
    <n v="46"/>
    <n v="91"/>
    <n v="98"/>
    <n v="45"/>
    <n v="291"/>
    <n v="500"/>
    <n v="0.57999999999999996"/>
    <n v="0.42000000000000004"/>
  </r>
  <r>
    <s v="Mum-TCL019"/>
    <x v="18"/>
    <x v="2"/>
    <n v="19"/>
    <n v="34"/>
    <n v="64"/>
    <n v="65"/>
    <n v="70"/>
    <n v="252"/>
    <n v="500"/>
    <n v="0.5"/>
    <n v="0.5"/>
  </r>
  <r>
    <s v="Mum-TCL020"/>
    <x v="19"/>
    <x v="3"/>
    <n v="93"/>
    <n v="84"/>
    <n v="13"/>
    <n v="45"/>
    <n v="18"/>
    <n v="253"/>
    <n v="500"/>
    <n v="0.51"/>
    <n v="0.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605F83-4BF9-4B18-9FB3-2FB8ACC8C174}"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7:H10" firstHeaderRow="1" firstDataRow="1" firstDataCol="1"/>
  <pivotFields count="12">
    <pivotField showAll="0"/>
    <pivotField axis="axisRow" showAll="0" measureFilter="1">
      <items count="21">
        <item x="4"/>
        <item x="18"/>
        <item x="11"/>
        <item x="17"/>
        <item x="2"/>
        <item x="5"/>
        <item x="9"/>
        <item x="15"/>
        <item x="12"/>
        <item x="13"/>
        <item x="19"/>
        <item x="7"/>
        <item x="16"/>
        <item x="14"/>
        <item x="0"/>
        <item x="6"/>
        <item x="3"/>
        <item x="1"/>
        <item x="10"/>
        <item x="8"/>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9" showAll="0"/>
    <pivotField numFmtId="164" showAll="0"/>
  </pivotFields>
  <rowFields count="1">
    <field x="1"/>
  </rowFields>
  <rowItems count="3">
    <i>
      <x v="1"/>
    </i>
    <i>
      <x v="4"/>
    </i>
    <i>
      <x v="18"/>
    </i>
  </rowItems>
  <colItems count="1">
    <i/>
  </colItems>
  <dataFields count="1">
    <dataField name="Target hit % wise" fld="10" baseField="1" baseItem="2" numFmtId="9"/>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
          </reference>
        </references>
      </pivotArea>
    </chartFormat>
    <chartFormat chart="0" format="2">
      <pivotArea type="data" outline="0" fieldPosition="0">
        <references count="2">
          <reference field="4294967294" count="1" selected="0">
            <x v="0"/>
          </reference>
          <reference field="1" count="1" selected="0">
            <x v="4"/>
          </reference>
        </references>
      </pivotArea>
    </chartFormat>
    <chartFormat chart="0" format="3">
      <pivotArea type="data" outline="0" fieldPosition="0">
        <references count="2">
          <reference field="4294967294" count="1" selected="0">
            <x v="0"/>
          </reference>
          <reference field="1" count="1" selected="0">
            <x v="14"/>
          </reference>
        </references>
      </pivotArea>
    </chartFormat>
    <chartFormat chart="0" format="4">
      <pivotArea type="data" outline="0" fieldPosition="0">
        <references count="2">
          <reference field="4294967294" count="1" selected="0">
            <x v="0"/>
          </reference>
          <reference field="1" count="1" selected="0">
            <x v="2"/>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6"/>
          </reference>
        </references>
      </pivotArea>
    </chartFormat>
    <chartFormat chart="0" format="8">
      <pivotArea type="data" outline="0" fieldPosition="0">
        <references count="2">
          <reference field="4294967294" count="1" selected="0">
            <x v="0"/>
          </reference>
          <reference field="1" count="1" selected="0">
            <x v="17"/>
          </reference>
        </references>
      </pivotArea>
    </chartFormat>
    <chartFormat chart="0" format="9">
      <pivotArea type="data" outline="0" fieldPosition="0">
        <references count="2">
          <reference field="4294967294" count="1" selected="0">
            <x v="0"/>
          </reference>
          <reference field="1" count="1" selected="0">
            <x v="12"/>
          </reference>
        </references>
      </pivotArea>
    </chartFormat>
    <chartFormat chart="0" format="10">
      <pivotArea type="data" outline="0" fieldPosition="0">
        <references count="2">
          <reference field="4294967294" count="1" selected="0">
            <x v="0"/>
          </reference>
          <reference field="1" count="1" selected="0">
            <x v="19"/>
          </reference>
        </references>
      </pivotArea>
    </chartFormat>
    <chartFormat chart="0" format="11">
      <pivotArea type="data" outline="0" fieldPosition="0">
        <references count="2">
          <reference field="4294967294" count="1" selected="0">
            <x v="0"/>
          </reference>
          <reference field="1" count="1" selected="0">
            <x v="1"/>
          </reference>
        </references>
      </pivotArea>
    </chartFormat>
    <chartFormat chart="0" format="12">
      <pivotArea type="data" outline="0" fieldPosition="0">
        <references count="2">
          <reference field="4294967294" count="1" selected="0">
            <x v="0"/>
          </reference>
          <reference field="1" count="1" selected="0">
            <x v="18"/>
          </reference>
        </references>
      </pivotArea>
    </chartFormat>
    <chartFormat chart="0" format="13">
      <pivotArea type="data" outline="0" fieldPosition="0">
        <references count="2">
          <reference field="4294967294" count="1" selected="0">
            <x v="0"/>
          </reference>
          <reference field="1" count="1" selected="0">
            <x v="5"/>
          </reference>
        </references>
      </pivotArea>
    </chartFormat>
    <chartFormat chart="0" format="14">
      <pivotArea type="data" outline="0" fieldPosition="0">
        <references count="2">
          <reference field="4294967294" count="1" selected="0">
            <x v="0"/>
          </reference>
          <reference field="1" count="1" selected="0">
            <x v="9"/>
          </reference>
        </references>
      </pivotArea>
    </chartFormat>
    <chartFormat chart="0" format="15">
      <pivotArea type="data" outline="0" fieldPosition="0">
        <references count="2">
          <reference field="4294967294" count="1" selected="0">
            <x v="0"/>
          </reference>
          <reference field="1" count="1" selected="0">
            <x v="13"/>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9AFBB0-8992-4773-8316-005A6B95BB35}"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c">
  <location ref="D7:E12" firstHeaderRow="1" firstDataRow="1" firstDataCol="1"/>
  <pivotFields count="12">
    <pivotField showAll="0"/>
    <pivotField axis="axisRow" showAll="0" measureFilter="1">
      <items count="21">
        <item x="4"/>
        <item x="18"/>
        <item x="11"/>
        <item x="17"/>
        <item x="2"/>
        <item x="5"/>
        <item x="9"/>
        <item x="15"/>
        <item x="12"/>
        <item x="13"/>
        <item x="19"/>
        <item x="7"/>
        <item x="16"/>
        <item x="14"/>
        <item x="0"/>
        <item x="6"/>
        <item x="3"/>
        <item x="1"/>
        <item x="10"/>
        <item x="8"/>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9" showAll="0"/>
    <pivotField numFmtId="164" showAll="0"/>
  </pivotFields>
  <rowFields count="1">
    <field x="1"/>
  </rowFields>
  <rowItems count="5">
    <i>
      <x/>
    </i>
    <i>
      <x v="6"/>
    </i>
    <i>
      <x v="7"/>
    </i>
    <i>
      <x v="18"/>
    </i>
    <i>
      <x v="19"/>
    </i>
  </rowItems>
  <colItems count="1">
    <i/>
  </colItems>
  <dataFields count="1">
    <dataField name="Total sales." fld="8" baseField="1" baseItem="2"/>
  </dataFields>
  <pivotTableStyleInfo name="PivotStyleMedium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13C889-17B6-46F2-8B52-1ABAA83B1CA0}"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c">
  <location ref="A7:B10" firstHeaderRow="1" firstDataRow="1" firstDataCol="1"/>
  <pivotFields count="12">
    <pivotField showAll="0"/>
    <pivotField axis="axisRow" showAll="0" measureFilter="1">
      <items count="21">
        <item x="4"/>
        <item x="18"/>
        <item x="11"/>
        <item x="17"/>
        <item x="2"/>
        <item x="5"/>
        <item x="9"/>
        <item x="15"/>
        <item x="12"/>
        <item x="13"/>
        <item x="19"/>
        <item x="7"/>
        <item x="16"/>
        <item x="14"/>
        <item x="0"/>
        <item x="6"/>
        <item x="3"/>
        <item x="1"/>
        <item x="10"/>
        <item x="8"/>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9" showAll="0"/>
    <pivotField numFmtId="164" showAll="0"/>
  </pivotFields>
  <rowFields count="1">
    <field x="1"/>
  </rowFields>
  <rowItems count="3">
    <i>
      <x v="1"/>
    </i>
    <i>
      <x v="4"/>
    </i>
    <i>
      <x v="18"/>
    </i>
  </rowItems>
  <colItems count="1">
    <i/>
  </colItems>
  <dataFields count="1">
    <dataField name="Total sales." fld="8" baseField="1" baseItem="2"/>
  </dataFields>
  <chartFormats count="1">
    <chartFormat chart="0" format="0"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D414C1-12F9-4FAD-9690-145E17A9B706}" name="PivotTable7"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7:K10" firstHeaderRow="1" firstDataRow="1" firstDataCol="1"/>
  <pivotFields count="12">
    <pivotField showAll="0"/>
    <pivotField axis="axisRow" showAll="0" measureFilter="1">
      <items count="21">
        <item x="4"/>
        <item x="18"/>
        <item x="11"/>
        <item x="17"/>
        <item x="2"/>
        <item x="5"/>
        <item x="9"/>
        <item x="15"/>
        <item x="12"/>
        <item x="13"/>
        <item x="19"/>
        <item x="7"/>
        <item x="16"/>
        <item x="14"/>
        <item x="0"/>
        <item x="6"/>
        <item x="3"/>
        <item x="1"/>
        <item x="10"/>
        <item x="8"/>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9" showAll="0"/>
    <pivotField dataField="1" numFmtId="164" showAll="0"/>
  </pivotFields>
  <rowFields count="1">
    <field x="1"/>
  </rowFields>
  <rowItems count="3">
    <i>
      <x v="1"/>
    </i>
    <i>
      <x v="4"/>
    </i>
    <i>
      <x v="18"/>
    </i>
  </rowItems>
  <colItems count="1">
    <i/>
  </colItems>
  <dataFields count="1">
    <dataField name=" Away from target% wise" fld="11" baseField="1" baseItem="0" numFmtId="164"/>
  </dataFields>
  <chartFormats count="7">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0"/>
          </reference>
        </references>
      </pivotArea>
    </chartFormat>
    <chartFormat chart="2" format="2">
      <pivotArea type="data" outline="0" fieldPosition="0">
        <references count="2">
          <reference field="4294967294" count="1" selected="0">
            <x v="0"/>
          </reference>
          <reference field="1" count="1" selected="0">
            <x v="19"/>
          </reference>
        </references>
      </pivotArea>
    </chartFormat>
    <chartFormat chart="2" format="3">
      <pivotArea type="data" outline="0" fieldPosition="0">
        <references count="2">
          <reference field="4294967294" count="1" selected="0">
            <x v="0"/>
          </reference>
          <reference field="1" count="1" selected="0">
            <x v="7"/>
          </reference>
        </references>
      </pivotArea>
    </chartFormat>
    <chartFormat chart="2" format="4">
      <pivotArea type="data" outline="0" fieldPosition="0">
        <references count="2">
          <reference field="4294967294" count="1" selected="0">
            <x v="0"/>
          </reference>
          <reference field="1" count="1" selected="0">
            <x v="13"/>
          </reference>
        </references>
      </pivotArea>
    </chartFormat>
    <chartFormat chart="2" format="5">
      <pivotArea type="data" outline="0" fieldPosition="0">
        <references count="2">
          <reference field="4294967294" count="1" selected="0">
            <x v="0"/>
          </reference>
          <reference field="1" count="1" selected="0">
            <x v="5"/>
          </reference>
        </references>
      </pivotArea>
    </chartFormat>
  </chartFormats>
  <pivotTableStyleInfo name="PivotStyleMedium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9AAF32A-BE17-47C9-AF8F-84E4F28C84AC}" sourceName="Region">
  <pivotTables>
    <pivotTable tabId="3" name="PivotTable7"/>
    <pivotTable tabId="3" name="PivotTable6"/>
    <pivotTable tabId="3" name="PivotTable2"/>
  </pivotTables>
  <data>
    <tabular pivotCacheId="272658880">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01C8B5C-7017-479C-8C97-D66992ACBB7B}" cache="Slicer_Region" caption="Region" columnCount="8"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6ABAB-05A3-4C25-BB43-F2DBDDAFDDEC}">
  <sheetPr codeName="Sheet1"/>
  <dimension ref="A1:K24"/>
  <sheetViews>
    <sheetView showRowColHeaders="0" tabSelected="1" zoomScale="105" workbookViewId="0">
      <selection activeCell="L2" sqref="L2"/>
    </sheetView>
  </sheetViews>
  <sheetFormatPr defaultRowHeight="14.5" x14ac:dyDescent="0.35"/>
  <cols>
    <col min="1" max="1" width="16.36328125" customWidth="1"/>
    <col min="2" max="2" width="10.1796875" bestFit="1" customWidth="1"/>
    <col min="3" max="3" width="2.453125" customWidth="1"/>
    <col min="4" max="4" width="16.54296875" bestFit="1" customWidth="1"/>
    <col min="6" max="6" width="2.453125" customWidth="1"/>
    <col min="7" max="7" width="15.6328125" bestFit="1" customWidth="1"/>
    <col min="8" max="8" width="17.26953125" bestFit="1" customWidth="1"/>
    <col min="9" max="9" width="2.36328125" customWidth="1"/>
    <col min="10" max="10" width="15.6328125" bestFit="1" customWidth="1"/>
    <col min="11" max="11" width="27.54296875" bestFit="1" customWidth="1"/>
  </cols>
  <sheetData>
    <row r="1" spans="1:11" x14ac:dyDescent="0.35">
      <c r="A1" s="7" t="b">
        <v>1</v>
      </c>
      <c r="B1" s="7"/>
      <c r="C1" s="7"/>
      <c r="D1" s="7" t="b">
        <v>0</v>
      </c>
      <c r="E1" s="7"/>
      <c r="F1" s="7"/>
      <c r="G1" s="7" t="b">
        <v>1</v>
      </c>
      <c r="H1" s="7"/>
      <c r="I1" s="7"/>
      <c r="J1" s="7" t="b">
        <v>1</v>
      </c>
      <c r="K1" s="7"/>
    </row>
    <row r="2" spans="1:11" x14ac:dyDescent="0.35">
      <c r="A2" s="7"/>
      <c r="B2" s="7"/>
      <c r="C2" s="7"/>
      <c r="D2" s="7"/>
      <c r="E2" s="7"/>
      <c r="F2" s="7"/>
      <c r="G2" s="7"/>
      <c r="H2" s="7"/>
      <c r="I2" s="7"/>
      <c r="J2" s="7"/>
      <c r="K2" s="7"/>
    </row>
    <row r="3" spans="1:11" x14ac:dyDescent="0.35">
      <c r="A3" s="7"/>
      <c r="B3" s="7"/>
      <c r="C3" s="7"/>
      <c r="D3" s="7"/>
      <c r="E3" s="7"/>
      <c r="F3" s="7"/>
      <c r="G3" s="7"/>
      <c r="H3" s="7"/>
      <c r="I3" s="7"/>
      <c r="J3" s="7"/>
      <c r="K3" s="7"/>
    </row>
    <row r="4" spans="1:11" ht="23.5" customHeight="1" x14ac:dyDescent="0.35">
      <c r="A4" s="7"/>
      <c r="B4" s="7"/>
      <c r="C4" s="7"/>
      <c r="D4" s="7"/>
      <c r="E4" s="7"/>
      <c r="F4" s="7"/>
      <c r="G4" s="7"/>
      <c r="H4" s="7"/>
      <c r="I4" s="7"/>
      <c r="J4" s="7"/>
      <c r="K4" s="7"/>
    </row>
    <row r="5" spans="1:11" ht="15.5" customHeight="1" x14ac:dyDescent="0.35">
      <c r="A5" s="7"/>
      <c r="B5" s="7"/>
      <c r="C5" s="7"/>
      <c r="D5" s="7"/>
      <c r="E5" s="7"/>
      <c r="F5" s="7"/>
      <c r="G5" s="7"/>
      <c r="H5" s="7"/>
      <c r="I5" s="7"/>
      <c r="J5" s="7"/>
      <c r="K5" s="7"/>
    </row>
    <row r="6" spans="1:11" x14ac:dyDescent="0.35">
      <c r="A6" s="7"/>
      <c r="B6" s="7"/>
      <c r="C6" s="7"/>
      <c r="D6" s="7"/>
      <c r="E6" s="7"/>
      <c r="F6" s="7"/>
      <c r="G6" s="7"/>
      <c r="H6" s="7"/>
      <c r="I6" s="7"/>
      <c r="J6" s="7"/>
      <c r="K6" s="7"/>
    </row>
    <row r="7" spans="1:11" x14ac:dyDescent="0.35">
      <c r="A7" s="3" t="s">
        <v>59</v>
      </c>
      <c r="B7" t="s">
        <v>60</v>
      </c>
      <c r="D7" s="3" t="s">
        <v>59</v>
      </c>
      <c r="E7" t="s">
        <v>60</v>
      </c>
      <c r="G7" s="3" t="s">
        <v>61</v>
      </c>
      <c r="H7" t="s">
        <v>63</v>
      </c>
      <c r="J7" s="3" t="s">
        <v>61</v>
      </c>
      <c r="K7" t="s">
        <v>62</v>
      </c>
    </row>
    <row r="8" spans="1:11" x14ac:dyDescent="0.35">
      <c r="A8" s="4" t="s">
        <v>48</v>
      </c>
      <c r="B8" s="9">
        <v>252</v>
      </c>
      <c r="D8" s="4" t="s">
        <v>34</v>
      </c>
      <c r="E8">
        <v>213</v>
      </c>
      <c r="G8" s="4" t="s">
        <v>48</v>
      </c>
      <c r="H8" s="5">
        <v>0.5</v>
      </c>
      <c r="I8" s="5"/>
      <c r="J8" s="4" t="s">
        <v>48</v>
      </c>
      <c r="K8" s="2">
        <v>0.5</v>
      </c>
    </row>
    <row r="9" spans="1:11" x14ac:dyDescent="0.35">
      <c r="A9" s="4" t="s">
        <v>32</v>
      </c>
      <c r="B9" s="9">
        <v>379</v>
      </c>
      <c r="D9" s="4" t="s">
        <v>39</v>
      </c>
      <c r="E9">
        <v>213</v>
      </c>
      <c r="G9" s="4" t="s">
        <v>32</v>
      </c>
      <c r="H9" s="5">
        <v>0.76</v>
      </c>
      <c r="I9" s="5"/>
      <c r="J9" s="4" t="s">
        <v>32</v>
      </c>
      <c r="K9" s="2">
        <v>0.24</v>
      </c>
    </row>
    <row r="10" spans="1:11" x14ac:dyDescent="0.35">
      <c r="A10" s="4" t="s">
        <v>40</v>
      </c>
      <c r="B10" s="9">
        <v>219</v>
      </c>
      <c r="D10" s="4" t="s">
        <v>45</v>
      </c>
      <c r="E10">
        <v>199</v>
      </c>
      <c r="G10" s="4" t="s">
        <v>40</v>
      </c>
      <c r="H10" s="5">
        <v>0.44</v>
      </c>
      <c r="I10" s="5"/>
      <c r="J10" s="4" t="s">
        <v>40</v>
      </c>
      <c r="K10" s="2">
        <v>0.56000000000000005</v>
      </c>
    </row>
    <row r="11" spans="1:11" x14ac:dyDescent="0.35">
      <c r="D11" s="4" t="s">
        <v>40</v>
      </c>
      <c r="E11">
        <v>219</v>
      </c>
      <c r="I11" s="5"/>
    </row>
    <row r="12" spans="1:11" x14ac:dyDescent="0.35">
      <c r="D12" s="4" t="s">
        <v>38</v>
      </c>
      <c r="E12">
        <v>189</v>
      </c>
      <c r="I12" s="5"/>
    </row>
    <row r="13" spans="1:11" x14ac:dyDescent="0.35">
      <c r="A13" s="8"/>
      <c r="B13" s="8"/>
      <c r="C13" s="8"/>
      <c r="D13" s="8"/>
      <c r="E13" s="8"/>
      <c r="F13" s="8"/>
      <c r="G13" s="8"/>
      <c r="H13" s="8"/>
      <c r="I13" s="8"/>
      <c r="J13" s="8"/>
      <c r="K13" s="8"/>
    </row>
    <row r="14" spans="1:11" x14ac:dyDescent="0.35">
      <c r="A14" s="8"/>
      <c r="B14" s="8"/>
      <c r="C14" s="8"/>
      <c r="D14" s="8"/>
      <c r="E14" s="8"/>
      <c r="F14" s="8"/>
      <c r="G14" s="8"/>
      <c r="H14" s="8"/>
      <c r="I14" s="8"/>
      <c r="J14" s="8"/>
      <c r="K14" s="8"/>
    </row>
    <row r="15" spans="1:11" x14ac:dyDescent="0.35">
      <c r="A15" s="8"/>
      <c r="B15" s="8"/>
      <c r="C15" s="8"/>
      <c r="D15" s="8"/>
      <c r="E15" s="8"/>
      <c r="F15" s="8"/>
      <c r="G15" s="8"/>
      <c r="H15" s="8"/>
      <c r="I15" s="8"/>
      <c r="J15" s="8"/>
      <c r="K15" s="8"/>
    </row>
    <row r="16" spans="1:11" x14ac:dyDescent="0.35">
      <c r="A16" s="8"/>
      <c r="B16" s="8"/>
      <c r="C16" s="8"/>
      <c r="D16" s="8"/>
      <c r="E16" s="8"/>
      <c r="F16" s="8"/>
      <c r="G16" s="8"/>
      <c r="H16" s="8"/>
      <c r="I16" s="8"/>
      <c r="J16" s="8"/>
      <c r="K16" s="8"/>
    </row>
    <row r="17" spans="1:11" x14ac:dyDescent="0.35">
      <c r="A17" s="8"/>
      <c r="B17" s="8"/>
      <c r="C17" s="8"/>
      <c r="D17" s="8"/>
      <c r="E17" s="8"/>
      <c r="F17" s="8"/>
      <c r="G17" s="8"/>
      <c r="H17" s="8"/>
      <c r="I17" s="8"/>
      <c r="J17" s="8"/>
      <c r="K17" s="8"/>
    </row>
    <row r="18" spans="1:11" x14ac:dyDescent="0.35">
      <c r="A18" s="8"/>
      <c r="B18" s="8"/>
      <c r="C18" s="8"/>
      <c r="D18" s="8"/>
      <c r="E18" s="8"/>
      <c r="F18" s="8"/>
      <c r="G18" s="8"/>
      <c r="H18" s="8"/>
      <c r="I18" s="8"/>
      <c r="J18" s="8"/>
      <c r="K18" s="8"/>
    </row>
    <row r="19" spans="1:11" x14ac:dyDescent="0.35">
      <c r="A19" s="8"/>
      <c r="B19" s="8"/>
      <c r="C19" s="8"/>
      <c r="D19" s="8"/>
      <c r="E19" s="8"/>
      <c r="F19" s="8"/>
      <c r="G19" s="8"/>
      <c r="H19" s="8"/>
      <c r="I19" s="8"/>
      <c r="J19" s="8"/>
      <c r="K19" s="8"/>
    </row>
    <row r="20" spans="1:11" x14ac:dyDescent="0.35">
      <c r="A20" s="8"/>
      <c r="B20" s="8"/>
      <c r="C20" s="8"/>
      <c r="D20" s="8"/>
      <c r="E20" s="8"/>
      <c r="F20" s="8"/>
      <c r="G20" s="8"/>
      <c r="H20" s="8"/>
      <c r="I20" s="8"/>
      <c r="J20" s="8"/>
      <c r="K20" s="8"/>
    </row>
    <row r="21" spans="1:11" x14ac:dyDescent="0.35">
      <c r="A21" s="8"/>
      <c r="B21" s="8"/>
      <c r="C21" s="8"/>
      <c r="D21" s="8"/>
      <c r="E21" s="8"/>
      <c r="F21" s="8"/>
      <c r="G21" s="8"/>
      <c r="H21" s="8"/>
      <c r="I21" s="8"/>
      <c r="J21" s="8"/>
      <c r="K21" s="8"/>
    </row>
    <row r="22" spans="1:11" x14ac:dyDescent="0.35">
      <c r="A22" s="8"/>
      <c r="B22" s="8"/>
      <c r="C22" s="8"/>
      <c r="D22" s="8"/>
      <c r="E22" s="8"/>
      <c r="F22" s="8"/>
      <c r="G22" s="8"/>
      <c r="H22" s="8"/>
      <c r="I22" s="8"/>
      <c r="J22" s="8"/>
      <c r="K22" s="8"/>
    </row>
    <row r="23" spans="1:11" x14ac:dyDescent="0.35">
      <c r="A23" s="8"/>
      <c r="B23" s="8"/>
      <c r="C23" s="8"/>
      <c r="D23" s="8"/>
      <c r="E23" s="8"/>
      <c r="F23" s="8"/>
      <c r="G23" s="8"/>
      <c r="H23" s="8"/>
      <c r="I23" s="8"/>
      <c r="J23" s="8"/>
      <c r="K23" s="8"/>
    </row>
    <row r="24" spans="1:11" x14ac:dyDescent="0.35">
      <c r="A24" s="6"/>
      <c r="B24" s="6"/>
      <c r="C24" s="6"/>
      <c r="D24" s="6"/>
      <c r="E24" s="6"/>
      <c r="F24" s="6"/>
      <c r="G24" s="6"/>
      <c r="H24" s="6"/>
      <c r="I24" s="6"/>
      <c r="J24" s="6"/>
      <c r="K24" s="6"/>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273050</xdr:colOff>
                    <xdr:row>3</xdr:row>
                    <xdr:rowOff>209550</xdr:rowOff>
                  </from>
                  <to>
                    <xdr:col>1</xdr:col>
                    <xdr:colOff>628650</xdr:colOff>
                    <xdr:row>5</xdr:row>
                    <xdr:rowOff>12700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177800</xdr:colOff>
                    <xdr:row>3</xdr:row>
                    <xdr:rowOff>222250</xdr:rowOff>
                  </from>
                  <to>
                    <xdr:col>4</xdr:col>
                    <xdr:colOff>476250</xdr:colOff>
                    <xdr:row>5</xdr:row>
                    <xdr:rowOff>19050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6</xdr:col>
                    <xdr:colOff>393700</xdr:colOff>
                    <xdr:row>3</xdr:row>
                    <xdr:rowOff>190500</xdr:rowOff>
                  </from>
                  <to>
                    <xdr:col>7</xdr:col>
                    <xdr:colOff>698500</xdr:colOff>
                    <xdr:row>4</xdr:row>
                    <xdr:rowOff>184150</xdr:rowOff>
                  </to>
                </anchor>
              </controlPr>
            </control>
          </mc:Choice>
        </mc:AlternateContent>
        <mc:AlternateContent xmlns:mc="http://schemas.openxmlformats.org/markup-compatibility/2006">
          <mc:Choice Requires="x14">
            <control shapeId="1029" r:id="rId11" name="Check Box 5">
              <controlPr defaultSize="0" autoFill="0" autoLine="0" autoPict="0" macro="[0]!SlicerConnection">
                <anchor moveWithCells="1">
                  <from>
                    <xdr:col>9</xdr:col>
                    <xdr:colOff>628650</xdr:colOff>
                    <xdr:row>3</xdr:row>
                    <xdr:rowOff>165100</xdr:rowOff>
                  </from>
                  <to>
                    <xdr:col>10</xdr:col>
                    <xdr:colOff>971550</xdr:colOff>
                    <xdr:row>5</xdr:row>
                    <xdr:rowOff>25400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43ADD-D337-4C3C-88F5-E1101B957EE2}">
  <sheetPr codeName="Sheet2"/>
  <dimension ref="A1:L21"/>
  <sheetViews>
    <sheetView workbookViewId="0">
      <selection activeCell="E9" sqref="A1:L21"/>
    </sheetView>
  </sheetViews>
  <sheetFormatPr defaultRowHeight="14.5" x14ac:dyDescent="0.35"/>
  <cols>
    <col min="1" max="1" width="11.81640625" bestFit="1" customWidth="1"/>
    <col min="2" max="2" width="13.81640625" customWidth="1"/>
    <col min="9" max="9" width="9.54296875" bestFit="1" customWidth="1"/>
    <col min="11" max="11" width="10.6328125" style="1" bestFit="1" customWidth="1"/>
    <col min="12" max="12" width="16.81640625" bestFit="1" customWidth="1"/>
  </cols>
  <sheetData>
    <row r="1" spans="1:12" x14ac:dyDescent="0.35">
      <c r="A1" t="s">
        <v>58</v>
      </c>
      <c r="B1" t="s">
        <v>61</v>
      </c>
      <c r="C1" t="s">
        <v>0</v>
      </c>
      <c r="D1" t="s">
        <v>1</v>
      </c>
      <c r="E1" t="s">
        <v>2</v>
      </c>
      <c r="F1" t="s">
        <v>3</v>
      </c>
      <c r="G1" t="s">
        <v>4</v>
      </c>
      <c r="H1" t="s">
        <v>5</v>
      </c>
      <c r="I1" t="s">
        <v>6</v>
      </c>
      <c r="J1" t="s">
        <v>7</v>
      </c>
      <c r="K1" s="1" t="s">
        <v>8</v>
      </c>
      <c r="L1" t="s">
        <v>9</v>
      </c>
    </row>
    <row r="2" spans="1:12" x14ac:dyDescent="0.35">
      <c r="A2" t="s">
        <v>10</v>
      </c>
      <c r="B2" t="s">
        <v>30</v>
      </c>
      <c r="C2" t="s">
        <v>50</v>
      </c>
      <c r="D2">
        <v>49</v>
      </c>
      <c r="E2">
        <v>84</v>
      </c>
      <c r="F2">
        <v>98</v>
      </c>
      <c r="G2">
        <v>67</v>
      </c>
      <c r="H2">
        <v>41</v>
      </c>
      <c r="I2">
        <f>SUM(D2:H2)</f>
        <v>339</v>
      </c>
      <c r="J2">
        <v>500</v>
      </c>
      <c r="K2" s="1">
        <v>0.67800000000000005</v>
      </c>
      <c r="L2" s="2">
        <v>0.32</v>
      </c>
    </row>
    <row r="3" spans="1:12" x14ac:dyDescent="0.35">
      <c r="A3" t="s">
        <v>11</v>
      </c>
      <c r="B3" t="s">
        <v>31</v>
      </c>
      <c r="C3" t="s">
        <v>51</v>
      </c>
      <c r="D3">
        <v>44</v>
      </c>
      <c r="E3">
        <v>85</v>
      </c>
      <c r="F3">
        <v>47</v>
      </c>
      <c r="G3">
        <v>15</v>
      </c>
      <c r="H3">
        <v>48</v>
      </c>
      <c r="I3">
        <f t="shared" ref="I3:I21" si="0">SUM(D3:H3)</f>
        <v>239</v>
      </c>
      <c r="J3">
        <v>500</v>
      </c>
      <c r="K3" s="1">
        <v>0.48</v>
      </c>
      <c r="L3" s="2">
        <f t="shared" ref="L3:L21" si="1">100%-K3</f>
        <v>0.52</v>
      </c>
    </row>
    <row r="4" spans="1:12" x14ac:dyDescent="0.35">
      <c r="A4" t="s">
        <v>12</v>
      </c>
      <c r="B4" t="s">
        <v>32</v>
      </c>
      <c r="C4" t="s">
        <v>52</v>
      </c>
      <c r="D4">
        <v>45</v>
      </c>
      <c r="E4">
        <v>79</v>
      </c>
      <c r="F4">
        <v>88</v>
      </c>
      <c r="G4">
        <v>73</v>
      </c>
      <c r="H4">
        <v>94</v>
      </c>
      <c r="I4">
        <f t="shared" si="0"/>
        <v>379</v>
      </c>
      <c r="J4">
        <v>500</v>
      </c>
      <c r="K4" s="1">
        <v>0.76</v>
      </c>
      <c r="L4" s="2">
        <f t="shared" si="1"/>
        <v>0.24</v>
      </c>
    </row>
    <row r="5" spans="1:12" x14ac:dyDescent="0.35">
      <c r="A5" t="s">
        <v>13</v>
      </c>
      <c r="B5" t="s">
        <v>33</v>
      </c>
      <c r="C5" t="s">
        <v>53</v>
      </c>
      <c r="D5">
        <v>52</v>
      </c>
      <c r="E5">
        <v>99</v>
      </c>
      <c r="F5">
        <v>13</v>
      </c>
      <c r="G5">
        <v>95</v>
      </c>
      <c r="H5">
        <v>29</v>
      </c>
      <c r="I5">
        <f t="shared" si="0"/>
        <v>288</v>
      </c>
      <c r="J5">
        <v>500</v>
      </c>
      <c r="K5" s="1">
        <v>0.57599999999999996</v>
      </c>
      <c r="L5" s="2">
        <f t="shared" si="1"/>
        <v>0.42400000000000004</v>
      </c>
    </row>
    <row r="6" spans="1:12" x14ac:dyDescent="0.35">
      <c r="A6" t="s">
        <v>14</v>
      </c>
      <c r="B6" t="s">
        <v>34</v>
      </c>
      <c r="C6" t="s">
        <v>54</v>
      </c>
      <c r="D6">
        <v>35</v>
      </c>
      <c r="E6">
        <v>54</v>
      </c>
      <c r="F6">
        <v>49</v>
      </c>
      <c r="G6">
        <v>26</v>
      </c>
      <c r="H6">
        <v>49</v>
      </c>
      <c r="I6">
        <f t="shared" si="0"/>
        <v>213</v>
      </c>
      <c r="J6">
        <v>500</v>
      </c>
      <c r="K6" s="1">
        <v>0.43</v>
      </c>
      <c r="L6" s="2">
        <f t="shared" si="1"/>
        <v>0.57000000000000006</v>
      </c>
    </row>
    <row r="7" spans="1:12" x14ac:dyDescent="0.35">
      <c r="A7" t="s">
        <v>15</v>
      </c>
      <c r="B7" t="s">
        <v>35</v>
      </c>
      <c r="C7" t="s">
        <v>55</v>
      </c>
      <c r="D7">
        <v>86</v>
      </c>
      <c r="E7">
        <v>31</v>
      </c>
      <c r="F7">
        <v>23</v>
      </c>
      <c r="G7">
        <v>48</v>
      </c>
      <c r="H7">
        <v>77</v>
      </c>
      <c r="I7">
        <f t="shared" si="0"/>
        <v>265</v>
      </c>
      <c r="J7">
        <v>500</v>
      </c>
      <c r="K7" s="1">
        <v>0.53</v>
      </c>
      <c r="L7" s="2">
        <f t="shared" si="1"/>
        <v>0.47</v>
      </c>
    </row>
    <row r="8" spans="1:12" x14ac:dyDescent="0.35">
      <c r="A8" t="s">
        <v>16</v>
      </c>
      <c r="B8" t="s">
        <v>36</v>
      </c>
      <c r="C8" t="s">
        <v>56</v>
      </c>
      <c r="D8">
        <v>84</v>
      </c>
      <c r="E8">
        <v>28</v>
      </c>
      <c r="F8">
        <v>98</v>
      </c>
      <c r="G8">
        <v>80</v>
      </c>
      <c r="H8">
        <v>79</v>
      </c>
      <c r="I8">
        <f t="shared" si="0"/>
        <v>369</v>
      </c>
      <c r="J8">
        <v>500</v>
      </c>
      <c r="K8" s="1">
        <v>0.74</v>
      </c>
      <c r="L8" s="2">
        <f t="shared" si="1"/>
        <v>0.26</v>
      </c>
    </row>
    <row r="9" spans="1:12" x14ac:dyDescent="0.35">
      <c r="A9" t="s">
        <v>17</v>
      </c>
      <c r="B9" t="s">
        <v>37</v>
      </c>
      <c r="C9" t="s">
        <v>57</v>
      </c>
      <c r="D9">
        <v>73</v>
      </c>
      <c r="E9">
        <v>97</v>
      </c>
      <c r="F9">
        <v>38</v>
      </c>
      <c r="G9">
        <v>24</v>
      </c>
      <c r="H9">
        <v>53</v>
      </c>
      <c r="I9">
        <f t="shared" si="0"/>
        <v>285</v>
      </c>
      <c r="J9">
        <v>500</v>
      </c>
      <c r="K9" s="1">
        <v>0.56999999999999995</v>
      </c>
      <c r="L9" s="2">
        <f t="shared" si="1"/>
        <v>0.43000000000000005</v>
      </c>
    </row>
    <row r="10" spans="1:12" x14ac:dyDescent="0.35">
      <c r="A10" t="s">
        <v>18</v>
      </c>
      <c r="B10" t="s">
        <v>38</v>
      </c>
      <c r="C10" t="s">
        <v>50</v>
      </c>
      <c r="D10">
        <v>54</v>
      </c>
      <c r="E10">
        <v>26</v>
      </c>
      <c r="F10">
        <v>53</v>
      </c>
      <c r="G10">
        <v>36</v>
      </c>
      <c r="H10">
        <v>20</v>
      </c>
      <c r="I10">
        <f t="shared" si="0"/>
        <v>189</v>
      </c>
      <c r="J10">
        <v>500</v>
      </c>
      <c r="K10" s="1">
        <v>0.38</v>
      </c>
      <c r="L10" s="2">
        <f t="shared" si="1"/>
        <v>0.62</v>
      </c>
    </row>
    <row r="11" spans="1:12" x14ac:dyDescent="0.35">
      <c r="A11" t="s">
        <v>19</v>
      </c>
      <c r="B11" t="s">
        <v>39</v>
      </c>
      <c r="C11" t="s">
        <v>51</v>
      </c>
      <c r="D11">
        <v>52</v>
      </c>
      <c r="E11">
        <v>52</v>
      </c>
      <c r="F11">
        <v>19</v>
      </c>
      <c r="G11">
        <v>53</v>
      </c>
      <c r="H11">
        <v>37</v>
      </c>
      <c r="I11">
        <f t="shared" si="0"/>
        <v>213</v>
      </c>
      <c r="J11">
        <v>500</v>
      </c>
      <c r="K11" s="1">
        <v>0.43</v>
      </c>
      <c r="L11" s="2">
        <f t="shared" si="1"/>
        <v>0.57000000000000006</v>
      </c>
    </row>
    <row r="12" spans="1:12" x14ac:dyDescent="0.35">
      <c r="A12" t="s">
        <v>20</v>
      </c>
      <c r="B12" t="s">
        <v>40</v>
      </c>
      <c r="C12" t="s">
        <v>52</v>
      </c>
      <c r="D12">
        <v>63</v>
      </c>
      <c r="E12">
        <v>17</v>
      </c>
      <c r="F12">
        <v>40</v>
      </c>
      <c r="G12">
        <v>48</v>
      </c>
      <c r="H12">
        <v>51</v>
      </c>
      <c r="I12">
        <f t="shared" si="0"/>
        <v>219</v>
      </c>
      <c r="J12">
        <v>500</v>
      </c>
      <c r="K12" s="1">
        <v>0.44</v>
      </c>
      <c r="L12" s="2">
        <f t="shared" si="1"/>
        <v>0.56000000000000005</v>
      </c>
    </row>
    <row r="13" spans="1:12" x14ac:dyDescent="0.35">
      <c r="A13" t="s">
        <v>21</v>
      </c>
      <c r="B13" t="s">
        <v>41</v>
      </c>
      <c r="C13" t="s">
        <v>53</v>
      </c>
      <c r="D13">
        <v>79</v>
      </c>
      <c r="E13">
        <v>99</v>
      </c>
      <c r="F13">
        <v>95</v>
      </c>
      <c r="G13">
        <v>12</v>
      </c>
      <c r="H13">
        <v>91</v>
      </c>
      <c r="I13">
        <f t="shared" si="0"/>
        <v>376</v>
      </c>
      <c r="J13">
        <v>500</v>
      </c>
      <c r="K13" s="1">
        <v>0.75</v>
      </c>
      <c r="L13" s="2">
        <f t="shared" si="1"/>
        <v>0.25</v>
      </c>
    </row>
    <row r="14" spans="1:12" x14ac:dyDescent="0.35">
      <c r="A14" t="s">
        <v>22</v>
      </c>
      <c r="B14" t="s">
        <v>42</v>
      </c>
      <c r="C14" t="s">
        <v>54</v>
      </c>
      <c r="D14">
        <v>95</v>
      </c>
      <c r="E14">
        <v>88</v>
      </c>
      <c r="F14">
        <v>11</v>
      </c>
      <c r="G14">
        <v>78</v>
      </c>
      <c r="H14">
        <v>60</v>
      </c>
      <c r="I14">
        <f t="shared" si="0"/>
        <v>332</v>
      </c>
      <c r="J14">
        <v>500</v>
      </c>
      <c r="K14" s="1">
        <v>0.66</v>
      </c>
      <c r="L14" s="2">
        <f t="shared" si="1"/>
        <v>0.33999999999999997</v>
      </c>
    </row>
    <row r="15" spans="1:12" x14ac:dyDescent="0.35">
      <c r="A15" t="s">
        <v>23</v>
      </c>
      <c r="B15" t="s">
        <v>43</v>
      </c>
      <c r="C15" t="s">
        <v>55</v>
      </c>
      <c r="D15">
        <v>83</v>
      </c>
      <c r="E15">
        <v>77</v>
      </c>
      <c r="F15">
        <v>66</v>
      </c>
      <c r="G15">
        <v>22</v>
      </c>
      <c r="H15">
        <v>40</v>
      </c>
      <c r="I15">
        <f t="shared" si="0"/>
        <v>288</v>
      </c>
      <c r="J15">
        <v>500</v>
      </c>
      <c r="K15" s="1">
        <v>0.57999999999999996</v>
      </c>
      <c r="L15" s="2">
        <f t="shared" si="1"/>
        <v>0.42000000000000004</v>
      </c>
    </row>
    <row r="16" spans="1:12" x14ac:dyDescent="0.35">
      <c r="A16" t="s">
        <v>24</v>
      </c>
      <c r="B16" t="s">
        <v>44</v>
      </c>
      <c r="C16" t="s">
        <v>56</v>
      </c>
      <c r="D16">
        <v>78</v>
      </c>
      <c r="E16">
        <v>58</v>
      </c>
      <c r="F16">
        <v>34</v>
      </c>
      <c r="G16">
        <v>84</v>
      </c>
      <c r="H16">
        <v>31</v>
      </c>
      <c r="I16">
        <f t="shared" si="0"/>
        <v>285</v>
      </c>
      <c r="J16">
        <v>500</v>
      </c>
      <c r="K16" s="1">
        <v>0.56999999999999995</v>
      </c>
      <c r="L16" s="2">
        <f t="shared" si="1"/>
        <v>0.43000000000000005</v>
      </c>
    </row>
    <row r="17" spans="1:12" x14ac:dyDescent="0.35">
      <c r="A17" t="s">
        <v>25</v>
      </c>
      <c r="B17" t="s">
        <v>45</v>
      </c>
      <c r="C17" t="s">
        <v>57</v>
      </c>
      <c r="D17">
        <v>14</v>
      </c>
      <c r="E17">
        <v>25</v>
      </c>
      <c r="F17">
        <v>45</v>
      </c>
      <c r="G17">
        <v>70</v>
      </c>
      <c r="H17">
        <v>45</v>
      </c>
      <c r="I17">
        <f t="shared" si="0"/>
        <v>199</v>
      </c>
      <c r="J17">
        <v>500</v>
      </c>
      <c r="K17" s="1">
        <v>0.4</v>
      </c>
      <c r="L17" s="2">
        <f t="shared" si="1"/>
        <v>0.6</v>
      </c>
    </row>
    <row r="18" spans="1:12" x14ac:dyDescent="0.35">
      <c r="A18" t="s">
        <v>26</v>
      </c>
      <c r="B18" t="s">
        <v>46</v>
      </c>
      <c r="C18" t="s">
        <v>50</v>
      </c>
      <c r="D18">
        <v>37</v>
      </c>
      <c r="E18">
        <v>69</v>
      </c>
      <c r="F18">
        <v>96</v>
      </c>
      <c r="G18">
        <v>66</v>
      </c>
      <c r="H18">
        <v>38</v>
      </c>
      <c r="I18">
        <f t="shared" si="0"/>
        <v>306</v>
      </c>
      <c r="J18">
        <v>500</v>
      </c>
      <c r="K18" s="1">
        <v>0.61</v>
      </c>
      <c r="L18" s="2">
        <f t="shared" si="1"/>
        <v>0.39</v>
      </c>
    </row>
    <row r="19" spans="1:12" x14ac:dyDescent="0.35">
      <c r="A19" t="s">
        <v>27</v>
      </c>
      <c r="B19" t="s">
        <v>47</v>
      </c>
      <c r="C19" t="s">
        <v>51</v>
      </c>
      <c r="D19">
        <v>11</v>
      </c>
      <c r="E19">
        <v>46</v>
      </c>
      <c r="F19">
        <v>91</v>
      </c>
      <c r="G19">
        <v>98</v>
      </c>
      <c r="H19">
        <v>45</v>
      </c>
      <c r="I19">
        <f t="shared" si="0"/>
        <v>291</v>
      </c>
      <c r="J19">
        <v>500</v>
      </c>
      <c r="K19" s="1">
        <v>0.57999999999999996</v>
      </c>
      <c r="L19" s="2">
        <f t="shared" si="1"/>
        <v>0.42000000000000004</v>
      </c>
    </row>
    <row r="20" spans="1:12" x14ac:dyDescent="0.35">
      <c r="A20" t="s">
        <v>28</v>
      </c>
      <c r="B20" t="s">
        <v>48</v>
      </c>
      <c r="C20" t="s">
        <v>52</v>
      </c>
      <c r="D20">
        <v>19</v>
      </c>
      <c r="E20">
        <v>34</v>
      </c>
      <c r="F20">
        <v>64</v>
      </c>
      <c r="G20">
        <v>65</v>
      </c>
      <c r="H20">
        <v>70</v>
      </c>
      <c r="I20">
        <f t="shared" si="0"/>
        <v>252</v>
      </c>
      <c r="J20">
        <v>500</v>
      </c>
      <c r="K20" s="1">
        <v>0.5</v>
      </c>
      <c r="L20" s="2">
        <f t="shared" si="1"/>
        <v>0.5</v>
      </c>
    </row>
    <row r="21" spans="1:12" x14ac:dyDescent="0.35">
      <c r="A21" t="s">
        <v>29</v>
      </c>
      <c r="B21" t="s">
        <v>49</v>
      </c>
      <c r="C21" t="s">
        <v>53</v>
      </c>
      <c r="D21">
        <v>93</v>
      </c>
      <c r="E21">
        <v>84</v>
      </c>
      <c r="F21">
        <v>13</v>
      </c>
      <c r="G21">
        <v>45</v>
      </c>
      <c r="H21">
        <v>18</v>
      </c>
      <c r="I21">
        <f t="shared" si="0"/>
        <v>253</v>
      </c>
      <c r="J21">
        <v>500</v>
      </c>
      <c r="K21" s="1">
        <v>0.51</v>
      </c>
      <c r="L21" s="2">
        <f t="shared" si="1"/>
        <v>0.49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priyanshu sharma</dc:creator>
  <cp:lastModifiedBy>priyanshu sharma</cp:lastModifiedBy>
  <dcterms:created xsi:type="dcterms:W3CDTF">2025-09-21T10:23:48Z</dcterms:created>
  <dcterms:modified xsi:type="dcterms:W3CDTF">2025-09-24T12:46:30Z</dcterms:modified>
</cp:coreProperties>
</file>